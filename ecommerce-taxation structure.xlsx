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vidhy\Downloads\"/>
    </mc:Choice>
  </mc:AlternateContent>
  <xr:revisionPtr revIDLastSave="0" documentId="8_{8ED84F12-9599-4A43-B9B1-0107E51478E7}" xr6:coauthVersionLast="47" xr6:coauthVersionMax="47" xr10:uidLastSave="{00000000-0000-0000-0000-000000000000}"/>
  <bookViews>
    <workbookView xWindow="1380" yWindow="1380" windowWidth="13740" windowHeight="11295" xr2:uid="{00000000-000D-0000-FFFF-FFFF00000000}"/>
  </bookViews>
  <sheets>
    <sheet name="taxation" sheetId="1" r:id="rId1"/>
    <sheet name="bill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2" l="1"/>
  <c r="L9" i="2" s="1"/>
  <c r="F9" i="2"/>
  <c r="E9" i="2"/>
  <c r="K8" i="2"/>
  <c r="L8" i="2" s="1"/>
  <c r="E8" i="2"/>
  <c r="F8" i="2" s="1"/>
  <c r="K7" i="2"/>
  <c r="L7" i="2" s="1"/>
  <c r="J6" i="2"/>
  <c r="D6" i="2"/>
  <c r="K4" i="2"/>
  <c r="L4" i="2" s="1"/>
  <c r="F4" i="2"/>
  <c r="E4" i="2"/>
  <c r="L3" i="2"/>
  <c r="K3" i="2"/>
  <c r="E3" i="2"/>
  <c r="F3" i="2" s="1"/>
  <c r="K6" i="2" l="1"/>
  <c r="L6" i="2" s="1"/>
  <c r="E6" i="2"/>
  <c r="F6" i="2" s="1"/>
  <c r="F14" i="2" s="1"/>
  <c r="L10" i="2" l="1"/>
  <c r="L15" i="2" s="1"/>
  <c r="L14" i="2" l="1"/>
</calcChain>
</file>

<file path=xl/sharedStrings.xml><?xml version="1.0" encoding="utf-8"?>
<sst xmlns="http://schemas.openxmlformats.org/spreadsheetml/2006/main" count="86" uniqueCount="71">
  <si>
    <t>Steps</t>
  </si>
  <si>
    <t>Details</t>
  </si>
  <si>
    <t>Configuration</t>
  </si>
  <si>
    <t xml:space="preserve">Super admin </t>
  </si>
  <si>
    <t>Super Admin - GST configuration</t>
  </si>
  <si>
    <t>Create Tax slab - Name, CGST,SGST,IGST-%</t>
  </si>
  <si>
    <t>GST</t>
  </si>
  <si>
    <t>there is no category wise grouping, all slabs will be listed while product creation.</t>
  </si>
  <si>
    <t>Section</t>
  </si>
  <si>
    <t>Edit Tax slab - allow edit and create audit trail</t>
  </si>
  <si>
    <t>Slab Name</t>
  </si>
  <si>
    <t>CGST</t>
  </si>
  <si>
    <t>Dealer - GST selection</t>
  </si>
  <si>
    <t>In product creation</t>
  </si>
  <si>
    <t>SGST</t>
  </si>
  <si>
    <t>Dealer will enter the HSN code and select appropriate GST slab</t>
  </si>
  <si>
    <t>IGST</t>
  </si>
  <si>
    <t>Customer order -  GST calculation</t>
  </si>
  <si>
    <t>When product is selected- calculate the GST as per the slab set in the product creation</t>
  </si>
  <si>
    <t>TDS</t>
  </si>
  <si>
    <t>Once proceed to pay is selected create order</t>
  </si>
  <si>
    <t>194-O</t>
  </si>
  <si>
    <t>save the GST amount in the order table</t>
  </si>
  <si>
    <t>If gst rates are edited in future/deleted the rates set while order and payment should be saved and not the current rates.</t>
  </si>
  <si>
    <t>Individual</t>
  </si>
  <si>
    <t>HUF</t>
  </si>
  <si>
    <t>company/LLP/Pvt ltd</t>
  </si>
  <si>
    <t>With Pan</t>
  </si>
  <si>
    <t>Dealer Settlement  - GST calculation</t>
  </si>
  <si>
    <t>While settlement Gst amount paid by customer will be transferred to dealer</t>
  </si>
  <si>
    <t xml:space="preserve"> TDS exemption with Pan</t>
  </si>
  <si>
    <t>GST amount deducted for services will be saved in settlement table</t>
  </si>
  <si>
    <t>Without pan</t>
  </si>
  <si>
    <t>TDS exemption without pan</t>
  </si>
  <si>
    <t>Nill</t>
  </si>
  <si>
    <t>TDS deduction is only on payable to dealer. Tds is deducted on product gross sale ( net selling price after discount)</t>
  </si>
  <si>
    <t>Super admin configuration</t>
  </si>
  <si>
    <t>Organisation( Individual,HUF,propietor,LLP,PVtltd)</t>
  </si>
  <si>
    <t>Pecentage</t>
  </si>
  <si>
    <t xml:space="preserve">Annual Exemption - </t>
  </si>
  <si>
    <t>Calculate FY Annual Net sales and if Crosses the limit deduct TDS as per rate</t>
  </si>
  <si>
    <t>Dealer settlement</t>
  </si>
  <si>
    <t xml:space="preserve">Daily basis generate settlement Amount </t>
  </si>
  <si>
    <t>Check applicable TDS as per pan/organization</t>
  </si>
  <si>
    <t>Check total Net sales for current Financial Year ( 1-AprXX to 31-MarXX)</t>
  </si>
  <si>
    <t xml:space="preserve">If sale cross Annual Exemption limit then calculate the tds </t>
  </si>
  <si>
    <t>Deduct and remit the amount to dealer</t>
  </si>
  <si>
    <t>Report must capture order wise TDS deducted amount</t>
  </si>
  <si>
    <t>Capture order wise, TDS deducted amount, deduction amount , Remitance number, date</t>
  </si>
  <si>
    <t>Customer</t>
  </si>
  <si>
    <t>Dealer</t>
  </si>
  <si>
    <t>Description</t>
  </si>
  <si>
    <t>Line item</t>
  </si>
  <si>
    <t>Basic</t>
  </si>
  <si>
    <t>Total</t>
  </si>
  <si>
    <t>MRP</t>
  </si>
  <si>
    <t>Selling price</t>
  </si>
  <si>
    <t>discount</t>
  </si>
  <si>
    <t>Net Selling price</t>
  </si>
  <si>
    <t>marketing</t>
  </si>
  <si>
    <t>-</t>
  </si>
  <si>
    <t>market place</t>
  </si>
  <si>
    <t>shipment</t>
  </si>
  <si>
    <t>pan-.1%,Non Pan-5%</t>
  </si>
  <si>
    <t>Cess</t>
  </si>
  <si>
    <t>others</t>
  </si>
  <si>
    <t>4+5++7+8+9+10</t>
  </si>
  <si>
    <t>Total - dealer self logistic</t>
  </si>
  <si>
    <t>14-15-16+7-18</t>
  </si>
  <si>
    <t>Total - Partner logistic</t>
  </si>
  <si>
    <t>14-15-16-17-18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</si>
</sst>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left" vertical="top" wrapText="1"/>
    </xf>
    <xf numFmtId="10" fontId="1" fillId="3" borderId="1" xfId="0" applyNumberFormat="1" applyFont="1" applyFill="1" applyBorder="1" applyAlignment="1">
      <alignment horizontal="left" vertical="top" wrapText="1"/>
    </xf>
    <xf numFmtId="3" fontId="1" fillId="3" borderId="1" xfId="0" applyNumberFormat="1" applyFont="1" applyFill="1" applyBorder="1" applyAlignment="1">
      <alignment horizontal="left" vertical="top" wrapText="1"/>
    </xf>
    <xf numFmtId="9" fontId="1" fillId="3" borderId="1" xfId="0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92F8069-FFA9-4FDE-8C89-0D1D63835F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F8" sqref="F8"/>
    </sheetView>
  </sheetViews>
  <sheetFormatPr defaultColWidth="20.28515625" defaultRowHeight="12.75" x14ac:dyDescent="0.2"/>
  <cols>
    <col min="1" max="1" width="31.28515625" style="2" customWidth="1"/>
    <col min="2" max="2" width="42.7109375" style="2" customWidth="1"/>
    <col min="3" max="3" width="31.5703125" style="2" customWidth="1"/>
    <col min="4" max="4" width="8.140625" style="2" customWidth="1"/>
    <col min="5" max="5" width="26.5703125" style="2" customWidth="1"/>
    <col min="6" max="7" width="9.140625" style="2" bestFit="1" customWidth="1"/>
    <col min="8" max="9" width="17.28515625" style="2" bestFit="1" customWidth="1"/>
    <col min="10" max="16384" width="20.28515625" style="2"/>
  </cols>
  <sheetData>
    <row r="1" spans="1:8" x14ac:dyDescent="0.2">
      <c r="A1" s="1"/>
      <c r="B1" s="1" t="s">
        <v>0</v>
      </c>
      <c r="C1" s="1" t="s">
        <v>1</v>
      </c>
      <c r="E1" s="3" t="s">
        <v>2</v>
      </c>
      <c r="F1" s="3"/>
      <c r="G1" s="3"/>
      <c r="H1" s="3"/>
    </row>
    <row r="2" spans="1:8" x14ac:dyDescent="0.2">
      <c r="A2" s="1" t="s">
        <v>3</v>
      </c>
      <c r="B2" s="1"/>
      <c r="C2" s="1"/>
      <c r="E2" s="3"/>
      <c r="F2" s="3"/>
      <c r="G2" s="3"/>
      <c r="H2" s="3"/>
    </row>
    <row r="3" spans="1:8" x14ac:dyDescent="0.2">
      <c r="A3" s="1" t="s">
        <v>4</v>
      </c>
      <c r="B3" s="1" t="s">
        <v>5</v>
      </c>
      <c r="C3" s="1"/>
      <c r="E3" s="4" t="s">
        <v>6</v>
      </c>
      <c r="F3" s="4"/>
      <c r="G3" s="4"/>
      <c r="H3" s="4"/>
    </row>
    <row r="4" spans="1:8" ht="25.5" x14ac:dyDescent="0.2">
      <c r="A4" s="1"/>
      <c r="B4" s="1" t="s">
        <v>7</v>
      </c>
      <c r="C4" s="1"/>
      <c r="E4" s="4" t="s">
        <v>8</v>
      </c>
      <c r="F4" s="4"/>
      <c r="G4" s="4"/>
      <c r="H4" s="4"/>
    </row>
    <row r="5" spans="1:8" x14ac:dyDescent="0.2">
      <c r="A5" s="1"/>
      <c r="B5" s="1" t="s">
        <v>9</v>
      </c>
      <c r="C5" s="1"/>
      <c r="E5" s="4" t="s">
        <v>10</v>
      </c>
      <c r="F5" s="4"/>
      <c r="G5" s="4"/>
      <c r="H5" s="4"/>
    </row>
    <row r="6" spans="1:8" x14ac:dyDescent="0.2">
      <c r="A6" s="1"/>
      <c r="B6" s="1"/>
      <c r="C6" s="1"/>
      <c r="E6" s="4" t="s">
        <v>11</v>
      </c>
      <c r="F6" s="4"/>
      <c r="G6" s="4"/>
      <c r="H6" s="4"/>
    </row>
    <row r="7" spans="1:8" x14ac:dyDescent="0.2">
      <c r="A7" s="1" t="s">
        <v>12</v>
      </c>
      <c r="B7" s="1" t="s">
        <v>13</v>
      </c>
      <c r="C7" s="1"/>
      <c r="E7" s="4" t="s">
        <v>14</v>
      </c>
      <c r="F7" s="4"/>
      <c r="G7" s="4"/>
      <c r="H7" s="4"/>
    </row>
    <row r="8" spans="1:8" ht="25.5" x14ac:dyDescent="0.2">
      <c r="A8" s="1"/>
      <c r="B8" s="1" t="s">
        <v>15</v>
      </c>
      <c r="C8" s="1"/>
      <c r="E8" s="4" t="s">
        <v>16</v>
      </c>
      <c r="F8" s="4"/>
      <c r="G8" s="4"/>
      <c r="H8" s="4"/>
    </row>
    <row r="9" spans="1:8" x14ac:dyDescent="0.2">
      <c r="A9" s="1"/>
      <c r="B9" s="1"/>
      <c r="C9" s="1"/>
      <c r="E9" s="3"/>
      <c r="F9" s="3"/>
      <c r="G9" s="3"/>
      <c r="H9" s="3"/>
    </row>
    <row r="10" spans="1:8" ht="25.5" x14ac:dyDescent="0.2">
      <c r="A10" s="1" t="s">
        <v>17</v>
      </c>
      <c r="B10" s="1" t="s">
        <v>18</v>
      </c>
      <c r="C10" s="1"/>
      <c r="E10" s="4" t="s">
        <v>19</v>
      </c>
      <c r="F10" s="4"/>
      <c r="G10" s="4"/>
      <c r="H10" s="4"/>
    </row>
    <row r="11" spans="1:8" x14ac:dyDescent="0.2">
      <c r="A11" s="1"/>
      <c r="B11" s="1" t="s">
        <v>20</v>
      </c>
      <c r="C11" s="1"/>
      <c r="E11" s="4" t="s">
        <v>8</v>
      </c>
      <c r="F11" s="4" t="s">
        <v>21</v>
      </c>
      <c r="G11" s="4"/>
      <c r="H11" s="4"/>
    </row>
    <row r="12" spans="1:8" ht="51" x14ac:dyDescent="0.2">
      <c r="A12" s="1"/>
      <c r="B12" s="1" t="s">
        <v>22</v>
      </c>
      <c r="C12" s="1" t="s">
        <v>23</v>
      </c>
      <c r="E12" s="5"/>
      <c r="F12" s="5" t="s">
        <v>24</v>
      </c>
      <c r="G12" s="5" t="s">
        <v>25</v>
      </c>
      <c r="H12" s="5" t="s">
        <v>26</v>
      </c>
    </row>
    <row r="13" spans="1:8" x14ac:dyDescent="0.2">
      <c r="A13" s="1"/>
      <c r="B13" s="1"/>
      <c r="C13" s="1"/>
      <c r="E13" s="5" t="s">
        <v>27</v>
      </c>
      <c r="F13" s="6">
        <v>1E-3</v>
      </c>
      <c r="G13" s="6">
        <v>1E-3</v>
      </c>
      <c r="H13" s="6">
        <v>1E-3</v>
      </c>
    </row>
    <row r="14" spans="1:8" ht="25.5" x14ac:dyDescent="0.2">
      <c r="A14" s="1" t="s">
        <v>28</v>
      </c>
      <c r="B14" s="1" t="s">
        <v>29</v>
      </c>
      <c r="C14" s="1"/>
      <c r="E14" s="5" t="s">
        <v>30</v>
      </c>
      <c r="F14" s="7">
        <v>500000</v>
      </c>
      <c r="G14" s="7">
        <v>500000</v>
      </c>
      <c r="H14" s="5"/>
    </row>
    <row r="15" spans="1:8" ht="25.5" x14ac:dyDescent="0.2">
      <c r="A15" s="1"/>
      <c r="B15" s="1" t="s">
        <v>31</v>
      </c>
      <c r="C15" s="1"/>
      <c r="E15" s="5" t="s">
        <v>32</v>
      </c>
      <c r="F15" s="8">
        <v>0.05</v>
      </c>
      <c r="G15" s="8">
        <v>0.05</v>
      </c>
      <c r="H15" s="8">
        <v>0.05</v>
      </c>
    </row>
    <row r="16" spans="1:8" x14ac:dyDescent="0.2">
      <c r="A16" s="1"/>
      <c r="B16" s="1"/>
      <c r="C16" s="1"/>
      <c r="E16" s="5" t="s">
        <v>33</v>
      </c>
      <c r="F16" s="5" t="s">
        <v>34</v>
      </c>
      <c r="G16" s="5" t="s">
        <v>34</v>
      </c>
      <c r="H16" s="5" t="s">
        <v>34</v>
      </c>
    </row>
    <row r="17" spans="1:3" x14ac:dyDescent="0.2">
      <c r="A17" s="1"/>
      <c r="B17" s="1"/>
      <c r="C17" s="1"/>
    </row>
    <row r="18" spans="1:3" x14ac:dyDescent="0.2">
      <c r="A18" s="1"/>
      <c r="B18" s="1"/>
      <c r="C18" s="1"/>
    </row>
    <row r="19" spans="1:3" ht="51" x14ac:dyDescent="0.2">
      <c r="A19" s="1" t="s">
        <v>19</v>
      </c>
      <c r="B19" s="1"/>
      <c r="C19" s="1" t="s">
        <v>35</v>
      </c>
    </row>
    <row r="20" spans="1:3" x14ac:dyDescent="0.2">
      <c r="A20" s="1" t="s">
        <v>36</v>
      </c>
      <c r="B20" s="1" t="s">
        <v>8</v>
      </c>
      <c r="C20" s="1"/>
    </row>
    <row r="21" spans="1:3" x14ac:dyDescent="0.2">
      <c r="A21" s="1"/>
      <c r="B21" s="1" t="s">
        <v>37</v>
      </c>
      <c r="C21" s="1"/>
    </row>
    <row r="22" spans="1:3" x14ac:dyDescent="0.2">
      <c r="A22" s="1"/>
      <c r="B22" s="1" t="s">
        <v>38</v>
      </c>
      <c r="C22" s="1"/>
    </row>
    <row r="23" spans="1:3" ht="38.25" x14ac:dyDescent="0.2">
      <c r="A23" s="1"/>
      <c r="B23" s="1" t="s">
        <v>39</v>
      </c>
      <c r="C23" s="1" t="s">
        <v>40</v>
      </c>
    </row>
    <row r="24" spans="1:3" x14ac:dyDescent="0.2">
      <c r="A24" s="1"/>
      <c r="B24" s="1"/>
      <c r="C24" s="1"/>
    </row>
    <row r="25" spans="1:3" x14ac:dyDescent="0.2">
      <c r="A25" s="1" t="s">
        <v>41</v>
      </c>
      <c r="B25" s="1" t="s">
        <v>42</v>
      </c>
      <c r="C25" s="1"/>
    </row>
    <row r="26" spans="1:3" x14ac:dyDescent="0.2">
      <c r="A26" s="1"/>
      <c r="B26" s="1" t="s">
        <v>43</v>
      </c>
      <c r="C26" s="1"/>
    </row>
    <row r="27" spans="1:3" ht="25.5" x14ac:dyDescent="0.2">
      <c r="A27" s="1"/>
      <c r="B27" s="1" t="s">
        <v>44</v>
      </c>
      <c r="C27" s="1"/>
    </row>
    <row r="28" spans="1:3" ht="25.5" x14ac:dyDescent="0.2">
      <c r="A28" s="1"/>
      <c r="B28" s="1" t="s">
        <v>45</v>
      </c>
      <c r="C28" s="1"/>
    </row>
    <row r="29" spans="1:3" x14ac:dyDescent="0.2">
      <c r="A29" s="1"/>
      <c r="B29" s="1" t="s">
        <v>46</v>
      </c>
      <c r="C29" s="1"/>
    </row>
    <row r="30" spans="1:3" ht="25.5" x14ac:dyDescent="0.2">
      <c r="A30" s="1"/>
      <c r="B30" s="1" t="s">
        <v>47</v>
      </c>
      <c r="C30" s="1"/>
    </row>
    <row r="31" spans="1:3" ht="25.5" x14ac:dyDescent="0.2">
      <c r="A31" s="1"/>
      <c r="B31" s="1" t="s">
        <v>48</v>
      </c>
      <c r="C31" s="1"/>
    </row>
    <row r="32" spans="1:3" x14ac:dyDescent="0.2">
      <c r="A32" s="9"/>
      <c r="B32" s="9"/>
      <c r="C32" s="9"/>
    </row>
    <row r="33" spans="1:3" x14ac:dyDescent="0.2">
      <c r="A33" s="9"/>
      <c r="B33" s="9"/>
      <c r="C33" s="9"/>
    </row>
    <row r="34" spans="1:3" x14ac:dyDescent="0.2">
      <c r="A34" s="9"/>
      <c r="B34" s="9"/>
      <c r="C34" s="9"/>
    </row>
    <row r="35" spans="1:3" x14ac:dyDescent="0.2">
      <c r="A35" s="9"/>
      <c r="B35" s="9"/>
      <c r="C3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workbookViewId="0">
      <selection activeCell="D18" sqref="D18"/>
    </sheetView>
  </sheetViews>
  <sheetFormatPr defaultColWidth="25.42578125" defaultRowHeight="15" x14ac:dyDescent="0.25"/>
  <cols>
    <col min="1" max="1" width="11.85546875" bestFit="1" customWidth="1"/>
    <col min="2" max="2" width="11.28515625" bestFit="1" customWidth="1"/>
    <col min="3" max="3" width="7.28515625" bestFit="1" customWidth="1"/>
    <col min="4" max="4" width="4.5703125" bestFit="1" customWidth="1"/>
    <col min="5" max="5" width="4.42578125" bestFit="1" customWidth="1"/>
    <col min="6" max="6" width="6.140625" bestFit="1" customWidth="1"/>
    <col min="8" max="8" width="18" bestFit="1" customWidth="1"/>
    <col min="9" max="9" width="15" bestFit="1" customWidth="1"/>
    <col min="10" max="10" width="4.5703125" bestFit="1" customWidth="1"/>
    <col min="11" max="11" width="4.42578125" bestFit="1" customWidth="1"/>
    <col min="12" max="12" width="5.7109375" bestFit="1" customWidth="1"/>
  </cols>
  <sheetData>
    <row r="1" spans="1:13" x14ac:dyDescent="0.25">
      <c r="A1" s="10" t="s">
        <v>49</v>
      </c>
      <c r="B1" s="10"/>
      <c r="C1" s="10"/>
      <c r="D1" s="10"/>
      <c r="E1" s="10"/>
      <c r="F1" s="10"/>
      <c r="G1" s="10"/>
      <c r="H1" s="10" t="s">
        <v>50</v>
      </c>
      <c r="I1" s="10"/>
      <c r="J1" s="10"/>
      <c r="K1" s="10"/>
      <c r="L1" s="10"/>
      <c r="M1" s="10"/>
    </row>
    <row r="2" spans="1:13" x14ac:dyDescent="0.25">
      <c r="A2" s="10"/>
      <c r="B2" s="10" t="s">
        <v>51</v>
      </c>
      <c r="C2" s="10" t="s">
        <v>52</v>
      </c>
      <c r="D2" s="10" t="s">
        <v>53</v>
      </c>
      <c r="E2" s="10" t="s">
        <v>6</v>
      </c>
      <c r="F2" s="10" t="s">
        <v>54</v>
      </c>
      <c r="G2" s="10"/>
      <c r="H2" s="10" t="s">
        <v>52</v>
      </c>
      <c r="I2" s="10" t="s">
        <v>51</v>
      </c>
      <c r="J2" s="10" t="s">
        <v>53</v>
      </c>
      <c r="K2" s="10" t="s">
        <v>6</v>
      </c>
      <c r="L2" s="10" t="s">
        <v>54</v>
      </c>
      <c r="M2" s="10"/>
    </row>
    <row r="3" spans="1:13" x14ac:dyDescent="0.25">
      <c r="A3" s="10" t="s">
        <v>55</v>
      </c>
      <c r="B3" s="10"/>
      <c r="C3" s="10">
        <v>1</v>
      </c>
      <c r="D3" s="10">
        <v>1000</v>
      </c>
      <c r="E3" s="10">
        <f>D3*18%</f>
        <v>180</v>
      </c>
      <c r="F3" s="10">
        <f>D3+E3</f>
        <v>1180</v>
      </c>
      <c r="G3" s="10"/>
      <c r="H3" s="10">
        <v>11</v>
      </c>
      <c r="I3" s="10"/>
      <c r="J3" s="10">
        <v>1000</v>
      </c>
      <c r="K3" s="10">
        <f>J3*18%</f>
        <v>180</v>
      </c>
      <c r="L3" s="10">
        <f>J3+K3</f>
        <v>1180</v>
      </c>
      <c r="M3" s="10"/>
    </row>
    <row r="4" spans="1:13" x14ac:dyDescent="0.25">
      <c r="A4" s="10" t="s">
        <v>56</v>
      </c>
      <c r="B4" s="10"/>
      <c r="C4" s="10">
        <v>2</v>
      </c>
      <c r="D4" s="10">
        <v>500</v>
      </c>
      <c r="E4" s="10">
        <f t="shared" ref="E4:E9" si="0">D4*18%</f>
        <v>90</v>
      </c>
      <c r="F4" s="10">
        <f t="shared" ref="F4:F9" si="1">D4+E4</f>
        <v>590</v>
      </c>
      <c r="G4" s="10"/>
      <c r="H4" s="10">
        <v>12</v>
      </c>
      <c r="I4" s="10"/>
      <c r="J4" s="10">
        <v>500</v>
      </c>
      <c r="K4" s="10">
        <f t="shared" ref="K4:K9" si="2">J4*18%</f>
        <v>90</v>
      </c>
      <c r="L4" s="10">
        <f t="shared" ref="L4:L9" si="3">J4+K4</f>
        <v>590</v>
      </c>
      <c r="M4" s="10"/>
    </row>
    <row r="5" spans="1:13" x14ac:dyDescent="0.25">
      <c r="A5" s="10" t="s">
        <v>57</v>
      </c>
      <c r="B5" s="10"/>
      <c r="C5" s="10">
        <v>3</v>
      </c>
      <c r="D5" s="11">
        <v>0.05</v>
      </c>
      <c r="E5" s="11">
        <v>0.05</v>
      </c>
      <c r="F5" s="11">
        <v>0.05</v>
      </c>
      <c r="G5" s="10"/>
      <c r="H5" s="10">
        <v>13</v>
      </c>
      <c r="I5" s="10"/>
      <c r="J5" s="11">
        <v>0.05</v>
      </c>
      <c r="K5" s="11">
        <v>0.05</v>
      </c>
      <c r="L5" s="11">
        <v>0.05</v>
      </c>
      <c r="M5" s="10"/>
    </row>
    <row r="6" spans="1:13" x14ac:dyDescent="0.25">
      <c r="A6" s="10" t="s">
        <v>58</v>
      </c>
      <c r="B6" s="10"/>
      <c r="C6" s="10">
        <v>4</v>
      </c>
      <c r="D6" s="10">
        <f>D4-D4*D5</f>
        <v>475</v>
      </c>
      <c r="E6" s="10">
        <f t="shared" si="0"/>
        <v>85.5</v>
      </c>
      <c r="F6" s="10">
        <f t="shared" si="1"/>
        <v>560.5</v>
      </c>
      <c r="G6" s="10"/>
      <c r="H6" s="10">
        <v>14</v>
      </c>
      <c r="I6" s="10"/>
      <c r="J6" s="10">
        <f>J4-J4*J5</f>
        <v>475</v>
      </c>
      <c r="K6" s="10">
        <f>K4-K4*K5</f>
        <v>85.5</v>
      </c>
      <c r="L6" s="10">
        <f t="shared" si="3"/>
        <v>560.5</v>
      </c>
      <c r="M6" s="10"/>
    </row>
    <row r="7" spans="1:13" x14ac:dyDescent="0.25">
      <c r="A7" s="10" t="s">
        <v>59</v>
      </c>
      <c r="B7" s="10"/>
      <c r="C7" s="10">
        <v>5</v>
      </c>
      <c r="D7" s="10" t="s">
        <v>60</v>
      </c>
      <c r="E7" s="10"/>
      <c r="F7" s="10"/>
      <c r="G7" s="10"/>
      <c r="H7" s="10">
        <v>15</v>
      </c>
      <c r="I7" s="10"/>
      <c r="J7" s="10">
        <v>10</v>
      </c>
      <c r="K7" s="10">
        <f t="shared" si="2"/>
        <v>1.7999999999999998</v>
      </c>
      <c r="L7" s="10">
        <f t="shared" si="3"/>
        <v>11.8</v>
      </c>
      <c r="M7" s="10"/>
    </row>
    <row r="8" spans="1:13" x14ac:dyDescent="0.25">
      <c r="A8" s="10" t="s">
        <v>61</v>
      </c>
      <c r="B8" s="10"/>
      <c r="C8" s="10">
        <v>6</v>
      </c>
      <c r="D8" s="10">
        <v>25</v>
      </c>
      <c r="E8" s="10">
        <f t="shared" si="0"/>
        <v>4.5</v>
      </c>
      <c r="F8" s="10">
        <f t="shared" si="1"/>
        <v>29.5</v>
      </c>
      <c r="G8" s="10"/>
      <c r="H8" s="10">
        <v>16</v>
      </c>
      <c r="I8" s="10"/>
      <c r="J8" s="10">
        <v>25</v>
      </c>
      <c r="K8" s="10">
        <f t="shared" si="2"/>
        <v>4.5</v>
      </c>
      <c r="L8" s="10">
        <f t="shared" si="3"/>
        <v>29.5</v>
      </c>
      <c r="M8" s="10"/>
    </row>
    <row r="9" spans="1:13" x14ac:dyDescent="0.25">
      <c r="A9" s="10" t="s">
        <v>62</v>
      </c>
      <c r="B9" s="10"/>
      <c r="C9" s="10">
        <v>7</v>
      </c>
      <c r="D9" s="10">
        <v>18</v>
      </c>
      <c r="E9" s="10">
        <f t="shared" si="0"/>
        <v>3.2399999999999998</v>
      </c>
      <c r="F9" s="10">
        <f t="shared" si="1"/>
        <v>21.24</v>
      </c>
      <c r="G9" s="10"/>
      <c r="H9" s="10">
        <v>17</v>
      </c>
      <c r="I9" s="10"/>
      <c r="J9" s="10">
        <v>15</v>
      </c>
      <c r="K9" s="10">
        <f t="shared" si="2"/>
        <v>2.6999999999999997</v>
      </c>
      <c r="L9" s="10">
        <f t="shared" si="3"/>
        <v>17.7</v>
      </c>
      <c r="M9" s="10"/>
    </row>
    <row r="10" spans="1:13" x14ac:dyDescent="0.25">
      <c r="A10" s="10" t="s">
        <v>19</v>
      </c>
      <c r="B10" s="10"/>
      <c r="C10" s="10">
        <v>8</v>
      </c>
      <c r="D10" s="10" t="s">
        <v>60</v>
      </c>
      <c r="E10" s="10"/>
      <c r="F10" s="10"/>
      <c r="G10" s="10"/>
      <c r="H10" s="10">
        <v>18</v>
      </c>
      <c r="I10" s="10" t="s">
        <v>63</v>
      </c>
      <c r="J10" s="10" t="s">
        <v>60</v>
      </c>
      <c r="K10" s="10"/>
      <c r="L10" s="12">
        <f>L6*0.1%</f>
        <v>0.5605</v>
      </c>
      <c r="M10" s="10"/>
    </row>
    <row r="11" spans="1:13" x14ac:dyDescent="0.25">
      <c r="A11" s="10" t="s">
        <v>64</v>
      </c>
      <c r="B11" s="10"/>
      <c r="C11" s="10">
        <v>9</v>
      </c>
      <c r="D11" s="10"/>
      <c r="E11" s="10"/>
      <c r="F11" s="10"/>
      <c r="G11" s="10"/>
      <c r="H11" s="10">
        <v>19</v>
      </c>
      <c r="I11" s="10"/>
      <c r="J11" s="10"/>
      <c r="K11" s="10"/>
      <c r="L11" s="10"/>
      <c r="M11" s="10"/>
    </row>
    <row r="12" spans="1:13" x14ac:dyDescent="0.25">
      <c r="A12" s="10" t="s">
        <v>65</v>
      </c>
      <c r="B12" s="10"/>
      <c r="C12" s="10">
        <v>10</v>
      </c>
      <c r="D12" s="10"/>
      <c r="E12" s="10"/>
      <c r="F12" s="10"/>
      <c r="G12" s="10"/>
      <c r="H12" s="10">
        <v>20</v>
      </c>
      <c r="I12" s="10"/>
      <c r="J12" s="10"/>
      <c r="K12" s="10"/>
      <c r="L12" s="10"/>
      <c r="M12" s="10"/>
    </row>
    <row r="13" spans="1:13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A14" s="10" t="s">
        <v>54</v>
      </c>
      <c r="B14" s="10" t="s">
        <v>66</v>
      </c>
      <c r="C14" s="10"/>
      <c r="D14" s="10"/>
      <c r="E14" s="10"/>
      <c r="F14" s="10">
        <f>SUM(F6:F13)</f>
        <v>611.24</v>
      </c>
      <c r="G14" s="10"/>
      <c r="H14" s="10" t="s">
        <v>67</v>
      </c>
      <c r="I14" s="10" t="s">
        <v>68</v>
      </c>
      <c r="J14" s="10"/>
      <c r="K14" s="10"/>
      <c r="L14" s="12">
        <f>L6-L7-L8+F9-L10</f>
        <v>539.87950000000001</v>
      </c>
      <c r="M14" s="10"/>
    </row>
    <row r="15" spans="1:13" x14ac:dyDescent="0.25">
      <c r="A15" s="10"/>
      <c r="B15" s="10"/>
      <c r="C15" s="10"/>
      <c r="D15" s="10"/>
      <c r="E15" s="10"/>
      <c r="F15" s="10"/>
      <c r="G15" s="10"/>
      <c r="H15" s="10" t="s">
        <v>69</v>
      </c>
      <c r="I15" s="10" t="s">
        <v>70</v>
      </c>
      <c r="J15" s="10"/>
      <c r="K15" s="10"/>
      <c r="L15" s="12">
        <f>L6-L7-L8-L9-L10</f>
        <v>500.93950000000007</v>
      </c>
      <c r="M15" s="10"/>
    </row>
    <row r="16" spans="1:13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taxation</vt:lpstr>
      <vt:lpstr>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Vidhya Shree</cp:lastModifiedBy>
  <dcterms:created xsi:type="dcterms:W3CDTF">2026-07-28T10:04:51Z</dcterms:created>
  <dcterms:modified xsi:type="dcterms:W3CDTF">2026-07-31T06:22:07Z</dcterms:modified>
</cp:coreProperties>
</file>